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Rental Property  —  Bookkeeping &amp; Tax Tracker</t>
        </is>
      </c>
    </row>
    <row r="3" ht="22" customHeight="1">
      <c r="B3" s="2" t="inlineStr">
        <is>
          <t xml:space="preserve">  Long-term landlords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rent payment as 'Rent received'. A security deposit is NOT income — only log it as income if and when you actually keep it.</t>
        </is>
      </c>
    </row>
    <row r="13" ht="34" customHeight="1">
      <c r="B13" s="4" t="inlineStr">
        <is>
          <t>•  Your annual property tax goes under 'Property taxes'; HOA dues go under 'Other (HOA, misc.)'.</t>
        </is>
      </c>
    </row>
    <row r="14" ht="34" customHeight="1">
      <c r="B14" s="4" t="inlineStr">
        <is>
          <t>•  Duplicate the file per tax year (e.g. 'Rental Property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Lease type</t>
        </is>
      </c>
      <c r="E5" s="7" t="inlineStr">
        <is>
          <t>Purchase price (optional)</t>
        </is>
      </c>
    </row>
    <row r="6" ht="22" customHeight="1">
      <c r="B6" s="8" t="inlineStr">
        <is>
          <t>123 Oak St</t>
        </is>
      </c>
      <c r="C6" s="9" t="n"/>
      <c r="D6" s="9" t="n"/>
      <c r="E6" s="10" t="n"/>
    </row>
    <row r="7" ht="22" customHeight="1">
      <c r="B7" s="11" t="inlineStr">
        <is>
          <t>456 Maple Ave</t>
        </is>
      </c>
      <c r="C7" s="12" t="n"/>
      <c r="D7" s="12" t="n"/>
      <c r="E7" s="10" t="n"/>
    </row>
    <row r="8" ht="22" customHeight="1">
      <c r="B8" s="8" t="inlineStr">
        <is>
          <t>Unit 7B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 received</t>
        </is>
      </c>
      <c r="J2" t="inlineStr">
        <is>
          <t>Income</t>
        </is>
      </c>
    </row>
    <row r="3">
      <c r="H3" s="13" t="inlineStr">
        <is>
          <t>Late fees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income (pet/parking/laundry)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 received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Late fees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income (pet/parking/laundry)</t>
        </is>
      </c>
      <c r="H7" s="13" t="inlineStr">
        <is>
          <t>Cleaning and maintenance</t>
        </is>
      </c>
    </row>
    <row r="8">
      <c r="B8" s="17" t="inlineStr">
        <is>
          <t>Commissions / leasing fees</t>
        </is>
      </c>
      <c r="C8" s="17" t="inlineStr">
        <is>
          <t>8  Commissions</t>
        </is>
      </c>
      <c r="H8" s="13" t="inlineStr">
        <is>
          <t>Commissions / leasing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</t>
        </is>
      </c>
      <c r="C15" s="16" t="inlineStr">
        <is>
          <t>15 Supplies</t>
        </is>
      </c>
      <c r="H15" s="13" t="inlineStr">
        <is>
          <t>Supplies</t>
        </is>
      </c>
    </row>
    <row r="16">
      <c r="B16" s="17" t="inlineStr">
        <is>
          <t>Property taxes</t>
        </is>
      </c>
      <c r="C16" s="17" t="inlineStr">
        <is>
          <t>16 Taxes</t>
        </is>
      </c>
      <c r="H16" s="13" t="inlineStr">
        <is>
          <t>Property taxes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(HOA, misc.)</t>
        </is>
      </c>
      <c r="C19" s="16" t="inlineStr">
        <is>
          <t>19 Other</t>
        </is>
      </c>
      <c r="H19" s="13" t="inlineStr">
        <is>
          <t>Other (HOA,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Tenant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46143</v>
      </c>
      <c r="B4" s="16" t="inlineStr">
        <is>
          <t>123 Oak St</t>
        </is>
      </c>
      <c r="C4" s="16" t="inlineStr">
        <is>
          <t>Income</t>
        </is>
      </c>
      <c r="D4" s="16" t="inlineStr">
        <is>
          <t>Rent received</t>
        </is>
      </c>
      <c r="E4" s="16" t="inlineStr">
        <is>
          <t>May rent</t>
        </is>
      </c>
      <c r="F4" s="19" t="n">
        <v>1650</v>
      </c>
      <c r="G4" s="16" t="inlineStr">
        <is>
          <t>Tenant: J. Lee</t>
        </is>
      </c>
      <c r="H4" s="20">
        <f>IF(A4="","",TEXT(A4,"yyyy-mm"))</f>
        <v/>
      </c>
      <c r="I4" s="16" t="n"/>
    </row>
    <row r="5" ht="18" customHeight="1">
      <c r="A5" s="21" t="n">
        <v>46143</v>
      </c>
      <c r="B5" s="17" t="inlineStr">
        <is>
          <t>456 Maple Ave</t>
        </is>
      </c>
      <c r="C5" s="17" t="inlineStr">
        <is>
          <t>Income</t>
        </is>
      </c>
      <c r="D5" s="17" t="inlineStr">
        <is>
          <t>Rent received</t>
        </is>
      </c>
      <c r="E5" s="17" t="inlineStr">
        <is>
          <t>May rent</t>
        </is>
      </c>
      <c r="F5" s="22" t="n">
        <v>1875</v>
      </c>
      <c r="G5" s="17" t="inlineStr">
        <is>
          <t>Tenant: M. Diaz</t>
        </is>
      </c>
      <c r="H5" s="23">
        <f>IF(A5="","",TEXT(A5,"yyyy-mm"))</f>
        <v/>
      </c>
      <c r="I5" s="17" t="n"/>
    </row>
    <row r="6" ht="18" customHeight="1">
      <c r="A6" s="18" t="n">
        <v>46145</v>
      </c>
      <c r="B6" s="16" t="inlineStr">
        <is>
          <t>123 Oak St</t>
        </is>
      </c>
      <c r="C6" s="16" t="inlineStr">
        <is>
          <t>Expense</t>
        </is>
      </c>
      <c r="D6" s="16" t="inlineStr">
        <is>
          <t>Repairs</t>
        </is>
      </c>
      <c r="E6" s="16" t="inlineStr">
        <is>
          <t>Kitchen faucet replacement</t>
        </is>
      </c>
      <c r="F6" s="19" t="n">
        <v>145</v>
      </c>
      <c r="G6" s="16" t="inlineStr">
        <is>
          <t>HandyPro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123 Oak St</t>
        </is>
      </c>
      <c r="C7" s="17" t="inlineStr">
        <is>
          <t>Expense</t>
        </is>
      </c>
      <c r="D7" s="17" t="inlineStr">
        <is>
          <t>Mortgage interest (banks)</t>
        </is>
      </c>
      <c r="E7" s="17" t="inlineStr">
        <is>
          <t>May interest portion</t>
        </is>
      </c>
      <c r="F7" s="22" t="n">
        <v>612</v>
      </c>
      <c r="G7" s="17" t="inlineStr">
        <is>
          <t>BigBank</t>
        </is>
      </c>
      <c r="H7" s="23">
        <f>IF(A7="","",TEXT(A7,"yyyy-mm"))</f>
        <v/>
      </c>
      <c r="I7" s="17" t="n"/>
    </row>
    <row r="8" ht="18" customHeight="1">
      <c r="A8" s="18" t="n">
        <v>46152</v>
      </c>
      <c r="B8" s="16" t="inlineStr">
        <is>
          <t>456 Maple Ave</t>
        </is>
      </c>
      <c r="C8" s="16" t="inlineStr">
        <is>
          <t>Expense</t>
        </is>
      </c>
      <c r="D8" s="16" t="inlineStr">
        <is>
          <t>Management fees</t>
        </is>
      </c>
      <c r="E8" s="16" t="inlineStr">
        <is>
          <t>8% management fee</t>
        </is>
      </c>
      <c r="F8" s="19" t="n">
        <v>150</v>
      </c>
      <c r="G8" s="16" t="inlineStr">
        <is>
          <t>PM Co</t>
        </is>
      </c>
      <c r="H8" s="20">
        <f>IF(A8="","",TEXT(A8,"yyyy-mm"))</f>
        <v/>
      </c>
      <c r="I8" s="16" t="n"/>
    </row>
    <row r="9" ht="18" customHeight="1">
      <c r="A9" s="21" t="n">
        <v>46157</v>
      </c>
      <c r="B9" s="17" t="inlineStr">
        <is>
          <t>123 Oak St</t>
        </is>
      </c>
      <c r="C9" s="17" t="inlineStr">
        <is>
          <t>Expense</t>
        </is>
      </c>
      <c r="D9" s="17" t="inlineStr">
        <is>
          <t>Insurance</t>
        </is>
      </c>
      <c r="E9" s="17" t="inlineStr">
        <is>
          <t>Landlord policy (monthly)</t>
        </is>
      </c>
      <c r="F9" s="22" t="n">
        <v>78</v>
      </c>
      <c r="G9" s="17" t="inlineStr">
        <is>
          <t>Insurer</t>
        </is>
      </c>
      <c r="H9" s="23">
        <f>IF(A9="","",TEXT(A9,"yyyy-mm"))</f>
        <v/>
      </c>
      <c r="I9" s="17" t="n"/>
    </row>
    <row r="10" ht="18" customHeight="1">
      <c r="A10" s="18" t="n">
        <v>46162</v>
      </c>
      <c r="B10" s="16" t="inlineStr">
        <is>
          <t>456 Maple Ave</t>
        </is>
      </c>
      <c r="C10" s="16" t="inlineStr">
        <is>
          <t>Expense</t>
        </is>
      </c>
      <c r="D10" s="16" t="inlineStr">
        <is>
          <t>Property taxes</t>
        </is>
      </c>
      <c r="E10" s="16" t="inlineStr">
        <is>
          <t>Q2 property tax</t>
        </is>
      </c>
      <c r="F10" s="19" t="n">
        <v>410</v>
      </c>
      <c r="G10" s="16" t="inlineStr">
        <is>
          <t>County</t>
        </is>
      </c>
      <c r="H10" s="20">
        <f>IF(A10="","",TEXT(A10,"yyyy-mm"))</f>
        <v/>
      </c>
      <c r="I10" s="16" t="n"/>
    </row>
    <row r="11" ht="18" customHeight="1">
      <c r="A11" s="21" t="n">
        <v>46170</v>
      </c>
      <c r="B11" s="17" t="inlineStr">
        <is>
          <t>123 Oak St</t>
        </is>
      </c>
      <c r="C11" s="17" t="inlineStr">
        <is>
          <t>Income</t>
        </is>
      </c>
      <c r="D11" s="17" t="inlineStr">
        <is>
          <t>Late fees</t>
        </is>
      </c>
      <c r="E11" s="17" t="inlineStr">
        <is>
          <t>Late rent fee</t>
        </is>
      </c>
      <c r="F11" s="22" t="n">
        <v>50</v>
      </c>
      <c r="G11" s="17" t="inlineStr">
        <is>
          <t>Tenant: J. Lee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 received</t>
        </is>
      </c>
      <c r="C6" s="29">
        <f>SUMIFS(Transactions!$F$4:$F$1003,Transactions!$B$4:$B$1003,Setup!$B$6,Transactions!$D$4:$D$1003,"Rent received",Transactions!$C$4:$C$1003,"Income")</f>
        <v/>
      </c>
      <c r="D6" s="29">
        <f>SUMIFS(Transactions!$F$4:$F$1003,Transactions!$B$4:$B$1003,Setup!$B$7,Transactions!$D$4:$D$1003,"Rent received",Transactions!$C$4:$C$1003,"Income")</f>
        <v/>
      </c>
      <c r="E6" s="29">
        <f>SUMIFS(Transactions!$F$4:$F$1003,Transactions!$B$4:$B$1003,Setup!$B$8,Transactions!$D$4:$D$1003,"Rent received",Transactions!$C$4:$C$1003,"Income")</f>
        <v/>
      </c>
      <c r="F6" s="29">
        <f>SUMIFS(Transactions!$F$4:$F$1003,Transactions!$B$4:$B$1003,Setup!$B$9,Transactions!$D$4:$D$1003,"Rent received",Transactions!$C$4:$C$1003,"Income")</f>
        <v/>
      </c>
      <c r="G6" s="29">
        <f>SUMIFS(Transactions!$F$4:$F$1003,Transactions!$B$4:$B$1003,Setup!$B$10,Transactions!$D$4:$D$1003,"Rent received",Transactions!$C$4:$C$1003,"Income")</f>
        <v/>
      </c>
      <c r="H6" s="30">
        <f>SUM(C6:G6)</f>
        <v/>
      </c>
    </row>
    <row r="7">
      <c r="B7" s="28" t="inlineStr">
        <is>
          <t>Late fees</t>
        </is>
      </c>
      <c r="C7" s="29">
        <f>SUMIFS(Transactions!$F$4:$F$1003,Transactions!$B$4:$B$1003,Setup!$B$6,Transactions!$D$4:$D$1003,"Late fees",Transactions!$C$4:$C$1003,"Income")</f>
        <v/>
      </c>
      <c r="D7" s="29">
        <f>SUMIFS(Transactions!$F$4:$F$1003,Transactions!$B$4:$B$1003,Setup!$B$7,Transactions!$D$4:$D$1003,"Late fees",Transactions!$C$4:$C$1003,"Income")</f>
        <v/>
      </c>
      <c r="E7" s="29">
        <f>SUMIFS(Transactions!$F$4:$F$1003,Transactions!$B$4:$B$1003,Setup!$B$8,Transactions!$D$4:$D$1003,"Late fees",Transactions!$C$4:$C$1003,"Income")</f>
        <v/>
      </c>
      <c r="F7" s="29">
        <f>SUMIFS(Transactions!$F$4:$F$1003,Transactions!$B$4:$B$1003,Setup!$B$9,Transactions!$D$4:$D$1003,"Late fees",Transactions!$C$4:$C$1003,"Income")</f>
        <v/>
      </c>
      <c r="G7" s="29">
        <f>SUMIFS(Transactions!$F$4:$F$1003,Transactions!$B$4:$B$1003,Setup!$B$10,Transactions!$D$4:$D$1003,"Late fees",Transactions!$C$4:$C$1003,"Income")</f>
        <v/>
      </c>
      <c r="H7" s="30">
        <f>SUM(C7:G7)</f>
        <v/>
      </c>
    </row>
    <row r="8">
      <c r="B8" s="28" t="inlineStr">
        <is>
          <t>Other income (pet/parking/laundry)</t>
        </is>
      </c>
      <c r="C8" s="29">
        <f>SUMIFS(Transactions!$F$4:$F$1003,Transactions!$B$4:$B$1003,Setup!$B$6,Transactions!$D$4:$D$1003,"Other income (pet/parking/laundry)",Transactions!$C$4:$C$1003,"Income")</f>
        <v/>
      </c>
      <c r="D8" s="29">
        <f>SUMIFS(Transactions!$F$4:$F$1003,Transactions!$B$4:$B$1003,Setup!$B$7,Transactions!$D$4:$D$1003,"Other income (pet/parking/laundry)",Transactions!$C$4:$C$1003,"Income")</f>
        <v/>
      </c>
      <c r="E8" s="29">
        <f>SUMIFS(Transactions!$F$4:$F$1003,Transactions!$B$4:$B$1003,Setup!$B$8,Transactions!$D$4:$D$1003,"Other income (pet/parking/laundry)",Transactions!$C$4:$C$1003,"Income")</f>
        <v/>
      </c>
      <c r="F8" s="29">
        <f>SUMIFS(Transactions!$F$4:$F$1003,Transactions!$B$4:$B$1003,Setup!$B$9,Transactions!$D$4:$D$1003,"Other income (pet/parking/laundry)",Transactions!$C$4:$C$1003,"Income")</f>
        <v/>
      </c>
      <c r="G8" s="29">
        <f>SUMIFS(Transactions!$F$4:$F$1003,Transactions!$B$4:$B$1003,Setup!$B$10,Transactions!$D$4:$D$1003,"Other income (pet/parking/laundry)",Transactions!$C$4:$C$1003,"Income")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leasing fees",Transactions!$C$4:$C$1003,"Expense")</f>
        <v/>
      </c>
      <c r="D15" s="29">
        <f>SUMIFS(Transactions!$F$4:$F$1003,Transactions!$B$4:$B$1003,Setup!$B$7,Transactions!$D$4:$D$1003,"Commissions / leasing fees",Transactions!$C$4:$C$1003,"Expense")</f>
        <v/>
      </c>
      <c r="E15" s="29">
        <f>SUMIFS(Transactions!$F$4:$F$1003,Transactions!$B$4:$B$1003,Setup!$B$8,Transactions!$D$4:$D$1003,"Commissions / leasing fees",Transactions!$C$4:$C$1003,"Expense")</f>
        <v/>
      </c>
      <c r="F15" s="29">
        <f>SUMIFS(Transactions!$F$4:$F$1003,Transactions!$B$4:$B$1003,Setup!$B$9,Transactions!$D$4:$D$1003,"Commissions / leasing fees",Transactions!$C$4:$C$1003,"Expense")</f>
        <v/>
      </c>
      <c r="G15" s="29">
        <f>SUMIFS(Transactions!$F$4:$F$1003,Transactions!$B$4:$B$1003,Setup!$B$10,Transactions!$D$4:$D$1003,"Commissions / leasing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SUMIFS(Transactions!$F$4:$F$1003,Transactions!$B$4:$B$1003,Setup!$B$6,Transactions!$D$4:$D$1003,"Supplies",Transactions!$C$4:$C$1003,"Expense")</f>
        <v/>
      </c>
      <c r="D22" s="29">
        <f>SUMIFS(Transactions!$F$4:$F$1003,Transactions!$B$4:$B$1003,Setup!$B$7,Transactions!$D$4:$D$1003,"Supplies",Transactions!$C$4:$C$1003,"Expense")</f>
        <v/>
      </c>
      <c r="E22" s="29">
        <f>SUMIFS(Transactions!$F$4:$F$1003,Transactions!$B$4:$B$1003,Setup!$B$8,Transactions!$D$4:$D$1003,"Supplies",Transactions!$C$4:$C$1003,"Expense")</f>
        <v/>
      </c>
      <c r="F22" s="29">
        <f>SUMIFS(Transactions!$F$4:$F$1003,Transactions!$B$4:$B$1003,Setup!$B$9,Transactions!$D$4:$D$1003,"Supplies",Transactions!$C$4:$C$1003,"Expense")</f>
        <v/>
      </c>
      <c r="G22" s="29">
        <f>SUMIFS(Transactions!$F$4:$F$1003,Transactions!$B$4:$B$1003,Setup!$B$10,Transactions!$D$4:$D$1003,"Supplies",Transactions!$C$4:$C$1003,"Expense")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SUMIFS(Transactions!$F$4:$F$1003,Transactions!$B$4:$B$1003,Setup!$B$6,Transactions!$D$4:$D$1003,"Property taxes",Transactions!$C$4:$C$1003,"Expense")</f>
        <v/>
      </c>
      <c r="D23" s="29">
        <f>SUMIFS(Transactions!$F$4:$F$1003,Transactions!$B$4:$B$1003,Setup!$B$7,Transactions!$D$4:$D$1003,"Property taxes",Transactions!$C$4:$C$1003,"Expense")</f>
        <v/>
      </c>
      <c r="E23" s="29">
        <f>SUMIFS(Transactions!$F$4:$F$1003,Transactions!$B$4:$B$1003,Setup!$B$8,Transactions!$D$4:$D$1003,"Property taxes",Transactions!$C$4:$C$1003,"Expense")</f>
        <v/>
      </c>
      <c r="F23" s="29">
        <f>SUMIFS(Transactions!$F$4:$F$1003,Transactions!$B$4:$B$1003,Setup!$B$9,Transactions!$D$4:$D$1003,"Property taxes",Transactions!$C$4:$C$1003,"Expense")</f>
        <v/>
      </c>
      <c r="G23" s="29">
        <f>SUMIFS(Transactions!$F$4:$F$1003,Transactions!$B$4:$B$1003,Setup!$B$10,Transactions!$D$4:$D$1003,"Property taxes",Transactions!$C$4:$C$1003,"Expense")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(HOA, misc.)",Transactions!$C$4:$C$1003,"Expense")</f>
        <v/>
      </c>
      <c r="D26" s="29">
        <f>SUMIFS(Transactions!$F$4:$F$1003,Transactions!$B$4:$B$1003,Setup!$B$7,Transactions!$D$4:$D$1003,"Other (HOA, misc.)",Transactions!$C$4:$C$1003,"Expense")</f>
        <v/>
      </c>
      <c r="E26" s="29">
        <f>SUMIFS(Transactions!$F$4:$F$1003,Transactions!$B$4:$B$1003,Setup!$B$8,Transactions!$D$4:$D$1003,"Other (HOA, misc.)",Transactions!$C$4:$C$1003,"Expense")</f>
        <v/>
      </c>
      <c r="F26" s="29">
        <f>SUMIFS(Transactions!$F$4:$F$1003,Transactions!$B$4:$B$1003,Setup!$B$9,Transactions!$D$4:$D$1003,"Other (HOA, misc.)",Transactions!$C$4:$C$1003,"Expense")</f>
        <v/>
      </c>
      <c r="G26" s="29">
        <f>SUMIFS(Transactions!$F$4:$F$1003,Transactions!$B$4:$B$1003,Setup!$B$10,Transactions!$D$4:$D$1003,"Other (HOA,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2026-06-06T15:33:51Z</dcterms:created>
  <dcterms:modified xsi:type="dcterms:W3CDTF">2026-06-06T15:33:52Z</dcterms:modified>
</cp:coreProperties>
</file>