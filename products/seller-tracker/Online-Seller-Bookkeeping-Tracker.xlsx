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Online Seller  —  Bookkeeping &amp; Tax Tracker</t>
        </is>
      </c>
    </row>
    <row r="3" ht="22" customHeight="1">
      <c r="B3" s="2" t="inlineStr">
        <is>
          <t xml:space="preserve">  Etsy / Amazon / Shopify / craft-fair sellers  ·  IRS Schedule C ready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shop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shop,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shop.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shop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gross sales as income and the marketplace's cut (Etsy/Amazon/PayPal/Square fees) as a 'Commissions &amp; marketplace fees' expense — don't net them together.</t>
        </is>
      </c>
    </row>
    <row r="13" ht="34" customHeight="1">
      <c r="B13" s="4" t="inlineStr">
        <is>
          <t>•  Materials and inventory you buy to make or resell products go under 'Cost of goods sold (materials)'; packaging goes under 'Supplies &amp; packaging'.</t>
        </is>
      </c>
    </row>
    <row r="14" ht="34" customHeight="1">
      <c r="B14" s="4" t="inlineStr">
        <is>
          <t>•  Duplicate the file per tax year (e.g. 'Online Seller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Shop Setup</t>
        </is>
      </c>
    </row>
    <row r="3">
      <c r="B3" s="6" t="inlineStr">
        <is>
          <t>Type each shop's name below. These names feed every dropdown and report.</t>
        </is>
      </c>
    </row>
    <row r="5" ht="24" customHeight="1">
      <c r="B5" s="7" t="inlineStr">
        <is>
          <t>Shop name</t>
        </is>
      </c>
      <c r="C5" s="7" t="inlineStr">
        <is>
          <t>Notes (optional)</t>
        </is>
      </c>
      <c r="D5" s="7" t="inlineStr">
        <is>
          <t>Platform</t>
        </is>
      </c>
      <c r="E5" s="7" t="inlineStr">
        <is>
          <t>Start date (optional)</t>
        </is>
      </c>
    </row>
    <row r="6" ht="22" customHeight="1">
      <c r="B6" s="8" t="inlineStr">
        <is>
          <t>Etsy Shop</t>
        </is>
      </c>
      <c r="C6" s="9" t="n"/>
      <c r="D6" s="9" t="n"/>
      <c r="E6" s="9" t="n"/>
    </row>
    <row r="7" ht="22" customHeight="1">
      <c r="B7" s="10" t="inlineStr">
        <is>
          <t>Amazon Store</t>
        </is>
      </c>
      <c r="C7" s="11" t="n"/>
      <c r="D7" s="11" t="n"/>
      <c r="E7" s="11" t="n"/>
    </row>
    <row r="8" ht="22" customHeight="1">
      <c r="B8" s="8" t="inlineStr">
        <is>
          <t>Craft Fairs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Product sales</t>
        </is>
      </c>
      <c r="J2" t="inlineStr">
        <is>
          <t>Income</t>
        </is>
      </c>
    </row>
    <row r="3">
      <c r="H3" s="12" t="inlineStr">
        <is>
          <t>Shipping income collected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Other income</t>
        </is>
      </c>
    </row>
    <row r="5">
      <c r="B5" s="15" t="inlineStr">
        <is>
          <t>Advertising &amp; promotion</t>
        </is>
      </c>
      <c r="C5" s="15" t="inlineStr">
        <is>
          <t>8  Advertising</t>
        </is>
      </c>
      <c r="E5" s="15" t="inlineStr">
        <is>
          <t>Product sales</t>
        </is>
      </c>
      <c r="H5" s="12" t="inlineStr">
        <is>
          <t>Advertising &amp; promotion</t>
        </is>
      </c>
    </row>
    <row r="6">
      <c r="B6" s="16" t="inlineStr">
        <is>
          <t>Car &amp; truck</t>
        </is>
      </c>
      <c r="C6" s="16" t="inlineStr">
        <is>
          <t>9  Car &amp; truck</t>
        </is>
      </c>
      <c r="E6" s="16" t="inlineStr">
        <is>
          <t>Shipping income collected</t>
        </is>
      </c>
      <c r="H6" s="12" t="inlineStr">
        <is>
          <t>Car &amp; truck</t>
        </is>
      </c>
    </row>
    <row r="7">
      <c r="B7" s="15" t="inlineStr">
        <is>
          <t>Commissions &amp; marketplace fees</t>
        </is>
      </c>
      <c r="C7" s="15" t="inlineStr">
        <is>
          <t>10 Commissions &amp; fees</t>
        </is>
      </c>
      <c r="E7" s="15" t="inlineStr">
        <is>
          <t>Other income</t>
        </is>
      </c>
      <c r="H7" s="12" t="inlineStr">
        <is>
          <t>Commissions &amp; marketplace fees</t>
        </is>
      </c>
    </row>
    <row r="8">
      <c r="B8" s="16" t="inlineStr">
        <is>
          <t>Contract labor</t>
        </is>
      </c>
      <c r="C8" s="16" t="inlineStr">
        <is>
          <t>11 Contract labor</t>
        </is>
      </c>
      <c r="H8" s="12" t="inlineStr">
        <is>
          <t>Contract labor</t>
        </is>
      </c>
    </row>
    <row r="9">
      <c r="B9" s="15" t="inlineStr">
        <is>
          <t>Cost of goods sold (materials)</t>
        </is>
      </c>
      <c r="C9" s="15" t="inlineStr">
        <is>
          <t>4  Cost of goods sold</t>
        </is>
      </c>
      <c r="H9" s="12" t="inlineStr">
        <is>
          <t>Cost of goods sold (materials)</t>
        </is>
      </c>
    </row>
    <row r="10">
      <c r="B10" s="16" t="inlineStr">
        <is>
          <t>Insurance (business)</t>
        </is>
      </c>
      <c r="C10" s="16" t="inlineStr">
        <is>
          <t>15 Insurance</t>
        </is>
      </c>
      <c r="H10" s="12" t="inlineStr">
        <is>
          <t>Insurance (business)</t>
        </is>
      </c>
    </row>
    <row r="11">
      <c r="B11" s="15" t="inlineStr">
        <is>
          <t>Legal &amp; professional</t>
        </is>
      </c>
      <c r="C11" s="15" t="inlineStr">
        <is>
          <t>17 Legal &amp; professional</t>
        </is>
      </c>
      <c r="H11" s="12" t="inlineStr">
        <is>
          <t>Legal &amp; professional</t>
        </is>
      </c>
    </row>
    <row r="12">
      <c r="B12" s="16" t="inlineStr">
        <is>
          <t>Office expense</t>
        </is>
      </c>
      <c r="C12" s="16" t="inlineStr">
        <is>
          <t>18 Office expense</t>
        </is>
      </c>
      <c r="H12" s="12" t="inlineStr">
        <is>
          <t>Office expense</t>
        </is>
      </c>
    </row>
    <row r="13">
      <c r="B13" s="15" t="inlineStr">
        <is>
          <t>Rent or lease</t>
        </is>
      </c>
      <c r="C13" s="15" t="inlineStr">
        <is>
          <t>20 Rent or lease</t>
        </is>
      </c>
      <c r="H13" s="12" t="inlineStr">
        <is>
          <t>Rent or lease</t>
        </is>
      </c>
    </row>
    <row r="14">
      <c r="B14" s="16" t="inlineStr">
        <is>
          <t>Repairs &amp; maintenance</t>
        </is>
      </c>
      <c r="C14" s="16" t="inlineStr">
        <is>
          <t>21 Repairs &amp; maintenance</t>
        </is>
      </c>
      <c r="H14" s="12" t="inlineStr">
        <is>
          <t>Repairs &amp; maintenance</t>
        </is>
      </c>
    </row>
    <row r="15">
      <c r="B15" s="15" t="inlineStr">
        <is>
          <t>Shipping &amp; postage</t>
        </is>
      </c>
      <c r="C15" s="15" t="inlineStr">
        <is>
          <t>27 Other (shipping)</t>
        </is>
      </c>
      <c r="H15" s="12" t="inlineStr">
        <is>
          <t>Shipping &amp; postage</t>
        </is>
      </c>
    </row>
    <row r="16">
      <c r="B16" s="16" t="inlineStr">
        <is>
          <t>Software &amp; subscriptions</t>
        </is>
      </c>
      <c r="C16" s="16" t="inlineStr">
        <is>
          <t>27 Other (software)</t>
        </is>
      </c>
      <c r="H16" s="12" t="inlineStr">
        <is>
          <t>Software &amp; subscriptions</t>
        </is>
      </c>
    </row>
    <row r="17">
      <c r="B17" s="15" t="inlineStr">
        <is>
          <t>Supplies &amp; packaging</t>
        </is>
      </c>
      <c r="C17" s="15" t="inlineStr">
        <is>
          <t>22 Supplies</t>
        </is>
      </c>
      <c r="H17" s="12" t="inlineStr">
        <is>
          <t>Supplies &amp; packaging</t>
        </is>
      </c>
    </row>
    <row r="18">
      <c r="B18" s="16" t="inlineStr">
        <is>
          <t>Taxes &amp; licenses</t>
        </is>
      </c>
      <c r="C18" s="16" t="inlineStr">
        <is>
          <t>23 Taxes &amp; licenses</t>
        </is>
      </c>
      <c r="H18" s="12" t="inlineStr">
        <is>
          <t>Taxes &amp; licenses</t>
        </is>
      </c>
    </row>
    <row r="19">
      <c r="B19" s="15" t="inlineStr">
        <is>
          <t>Travel &amp; meals</t>
        </is>
      </c>
      <c r="C19" s="15" t="inlineStr">
        <is>
          <t>24 Travel &amp; meals</t>
        </is>
      </c>
      <c r="H19" s="12" t="inlineStr">
        <is>
          <t>Travel &amp; meals</t>
        </is>
      </c>
    </row>
    <row r="20">
      <c r="B20" s="16" t="inlineStr">
        <is>
          <t>Utilities (phone/internet)</t>
        </is>
      </c>
      <c r="C20" s="16" t="inlineStr">
        <is>
          <t>25 Utilities</t>
        </is>
      </c>
      <c r="H20" s="12" t="inlineStr">
        <is>
          <t>Utilities (phone/internet)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Shop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Customer / payee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46144</v>
      </c>
      <c r="B4" s="15" t="inlineStr">
        <is>
          <t>Etsy Shop</t>
        </is>
      </c>
      <c r="C4" s="15" t="inlineStr">
        <is>
          <t>Income</t>
        </is>
      </c>
      <c r="D4" s="15" t="inlineStr">
        <is>
          <t>Product sales</t>
        </is>
      </c>
      <c r="E4" s="15" t="inlineStr">
        <is>
          <t>Orders #1001–1010</t>
        </is>
      </c>
      <c r="F4" s="18" t="n">
        <v>980</v>
      </c>
      <c r="G4" s="15" t="inlineStr">
        <is>
          <t>Etsy</t>
        </is>
      </c>
      <c r="H4" s="19">
        <f>IF(A4="","",TEXT(A4,"yyyy-mm"))</f>
        <v/>
      </c>
      <c r="I4" s="15" t="n"/>
    </row>
    <row r="5" ht="18" customHeight="1">
      <c r="A5" s="20" t="n">
        <v>46144</v>
      </c>
      <c r="B5" s="16" t="inlineStr">
        <is>
          <t>Etsy Shop</t>
        </is>
      </c>
      <c r="C5" s="16" t="inlineStr">
        <is>
          <t>Expense</t>
        </is>
      </c>
      <c r="D5" s="16" t="inlineStr">
        <is>
          <t>Commissions &amp; marketplace fees</t>
        </is>
      </c>
      <c r="E5" s="16" t="inlineStr">
        <is>
          <t>Etsy transaction + payment</t>
        </is>
      </c>
      <c r="F5" s="21" t="n">
        <v>88.2</v>
      </c>
      <c r="G5" s="16" t="inlineStr">
        <is>
          <t>Etsy</t>
        </is>
      </c>
      <c r="H5" s="22">
        <f>IF(A5="","",TEXT(A5,"yyyy-mm"))</f>
        <v/>
      </c>
      <c r="I5" s="16" t="n"/>
    </row>
    <row r="6" ht="18" customHeight="1">
      <c r="A6" s="17" t="n">
        <v>46146</v>
      </c>
      <c r="B6" s="15" t="inlineStr">
        <is>
          <t>Etsy Shop</t>
        </is>
      </c>
      <c r="C6" s="15" t="inlineStr">
        <is>
          <t>Expense</t>
        </is>
      </c>
      <c r="D6" s="15" t="inlineStr">
        <is>
          <t>Cost of goods sold (materials)</t>
        </is>
      </c>
      <c r="E6" s="15" t="inlineStr">
        <is>
          <t>Yarn + beads restock</t>
        </is>
      </c>
      <c r="F6" s="18" t="n">
        <v>145</v>
      </c>
      <c r="G6" s="15" t="inlineStr">
        <is>
          <t>Supplier</t>
        </is>
      </c>
      <c r="H6" s="19">
        <f>IF(A6="","",TEXT(A6,"yyyy-mm"))</f>
        <v/>
      </c>
      <c r="I6" s="15" t="n"/>
    </row>
    <row r="7" ht="18" customHeight="1">
      <c r="A7" s="20" t="n">
        <v>46148</v>
      </c>
      <c r="B7" s="16" t="inlineStr">
        <is>
          <t>Etsy Shop</t>
        </is>
      </c>
      <c r="C7" s="16" t="inlineStr">
        <is>
          <t>Expense</t>
        </is>
      </c>
      <c r="D7" s="16" t="inlineStr">
        <is>
          <t>Shipping &amp; postage</t>
        </is>
      </c>
      <c r="E7" s="16" t="inlineStr">
        <is>
          <t>May postage labels</t>
        </is>
      </c>
      <c r="F7" s="21" t="n">
        <v>62.4</v>
      </c>
      <c r="G7" s="16" t="inlineStr">
        <is>
          <t>USPS</t>
        </is>
      </c>
      <c r="H7" s="22">
        <f>IF(A7="","",TEXT(A7,"yyyy-mm"))</f>
        <v/>
      </c>
      <c r="I7" s="16" t="n"/>
    </row>
    <row r="8" ht="18" customHeight="1">
      <c r="A8" s="17" t="n">
        <v>46151</v>
      </c>
      <c r="B8" s="15" t="inlineStr">
        <is>
          <t>Amazon Store</t>
        </is>
      </c>
      <c r="C8" s="15" t="inlineStr">
        <is>
          <t>Income</t>
        </is>
      </c>
      <c r="D8" s="15" t="inlineStr">
        <is>
          <t>Product sales</t>
        </is>
      </c>
      <c r="E8" s="15" t="inlineStr">
        <is>
          <t>FBA payout</t>
        </is>
      </c>
      <c r="F8" s="18" t="n">
        <v>1320</v>
      </c>
      <c r="G8" s="15" t="inlineStr">
        <is>
          <t>Amazon</t>
        </is>
      </c>
      <c r="H8" s="19">
        <f>IF(A8="","",TEXT(A8,"yyyy-mm"))</f>
        <v/>
      </c>
      <c r="I8" s="15" t="n"/>
    </row>
    <row r="9" ht="18" customHeight="1">
      <c r="A9" s="20" t="n">
        <v>46151</v>
      </c>
      <c r="B9" s="16" t="inlineStr">
        <is>
          <t>Amazon Store</t>
        </is>
      </c>
      <c r="C9" s="16" t="inlineStr">
        <is>
          <t>Expense</t>
        </is>
      </c>
      <c r="D9" s="16" t="inlineStr">
        <is>
          <t>Commissions &amp; marketplace fees</t>
        </is>
      </c>
      <c r="E9" s="16" t="inlineStr">
        <is>
          <t>Amazon referral + FBA fees</t>
        </is>
      </c>
      <c r="F9" s="21" t="n">
        <v>264</v>
      </c>
      <c r="G9" s="16" t="inlineStr">
        <is>
          <t>Amazon</t>
        </is>
      </c>
      <c r="H9" s="22">
        <f>IF(A9="","",TEXT(A9,"yyyy-mm"))</f>
        <v/>
      </c>
      <c r="I9" s="16" t="n"/>
    </row>
    <row r="10" ht="18" customHeight="1">
      <c r="A10" s="17" t="n">
        <v>46157</v>
      </c>
      <c r="B10" s="15" t="inlineStr">
        <is>
          <t>Etsy Shop</t>
        </is>
      </c>
      <c r="C10" s="15" t="inlineStr">
        <is>
          <t>Expense</t>
        </is>
      </c>
      <c r="D10" s="15" t="inlineStr">
        <is>
          <t>Software &amp; subscriptions</t>
        </is>
      </c>
      <c r="E10" s="15" t="inlineStr">
        <is>
          <t>Canva + email tool</t>
        </is>
      </c>
      <c r="F10" s="18" t="n">
        <v>29</v>
      </c>
      <c r="G10" s="15" t="inlineStr">
        <is>
          <t>SaaS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Craft Fairs</t>
        </is>
      </c>
      <c r="C11" s="16" t="inlineStr">
        <is>
          <t>Income</t>
        </is>
      </c>
      <c r="D11" s="16" t="inlineStr">
        <is>
          <t>Product sales</t>
        </is>
      </c>
      <c r="E11" s="16" t="inlineStr">
        <is>
          <t>Spring market booth</t>
        </is>
      </c>
      <c r="F11" s="21" t="n">
        <v>410</v>
      </c>
      <c r="G11" s="16" t="inlineStr">
        <is>
          <t>Square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shop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Product sales</t>
        </is>
      </c>
      <c r="C6" s="28">
        <f>SUMIFS(Transactions!$F$4:$F$1003,Transactions!$B$4:$B$1003,Setup!$B$6,Transactions!$D$4:$D$1003,"Product sales",Transactions!$C$4:$C$1003,"Income")</f>
        <v/>
      </c>
      <c r="D6" s="28">
        <f>SUMIFS(Transactions!$F$4:$F$1003,Transactions!$B$4:$B$1003,Setup!$B$7,Transactions!$D$4:$D$1003,"Product sales",Transactions!$C$4:$C$1003,"Income")</f>
        <v/>
      </c>
      <c r="E6" s="28">
        <f>SUMIFS(Transactions!$F$4:$F$1003,Transactions!$B$4:$B$1003,Setup!$B$8,Transactions!$D$4:$D$1003,"Product sales",Transactions!$C$4:$C$1003,"Income")</f>
        <v/>
      </c>
      <c r="F6" s="28">
        <f>SUMIFS(Transactions!$F$4:$F$1003,Transactions!$B$4:$B$1003,Setup!$B$9,Transactions!$D$4:$D$1003,"Product sales",Transactions!$C$4:$C$1003,"Income")</f>
        <v/>
      </c>
      <c r="G6" s="28">
        <f>SUMIFS(Transactions!$F$4:$F$1003,Transactions!$B$4:$B$1003,Setup!$B$10,Transactions!$D$4:$D$1003,"Product sales",Transactions!$C$4:$C$1003,"Income")</f>
        <v/>
      </c>
      <c r="H6" s="29">
        <f>SUM(C6:G6)</f>
        <v/>
      </c>
    </row>
    <row r="7">
      <c r="B7" s="27" t="inlineStr">
        <is>
          <t>Shipping income collected</t>
        </is>
      </c>
      <c r="C7" s="28">
        <f>SUMIFS(Transactions!$F$4:$F$1003,Transactions!$B$4:$B$1003,Setup!$B$6,Transactions!$D$4:$D$1003,"Shipping income collected",Transactions!$C$4:$C$1003,"Income")</f>
        <v/>
      </c>
      <c r="D7" s="28">
        <f>SUMIFS(Transactions!$F$4:$F$1003,Transactions!$B$4:$B$1003,Setup!$B$7,Transactions!$D$4:$D$1003,"Shipping income collected",Transactions!$C$4:$C$1003,"Income")</f>
        <v/>
      </c>
      <c r="E7" s="28">
        <f>SUMIFS(Transactions!$F$4:$F$1003,Transactions!$B$4:$B$1003,Setup!$B$8,Transactions!$D$4:$D$1003,"Shipping income collected",Transactions!$C$4:$C$1003,"Income")</f>
        <v/>
      </c>
      <c r="F7" s="28">
        <f>SUMIFS(Transactions!$F$4:$F$1003,Transactions!$B$4:$B$1003,Setup!$B$9,Transactions!$D$4:$D$1003,"Shipping income collected",Transactions!$C$4:$C$1003,"Income")</f>
        <v/>
      </c>
      <c r="G7" s="28">
        <f>SUMIFS(Transactions!$F$4:$F$1003,Transactions!$B$4:$B$1003,Setup!$B$10,Transactions!$D$4:$D$1003,"Shipping income collected",Transactions!$C$4:$C$1003,"Income")</f>
        <v/>
      </c>
      <c r="H7" s="29">
        <f>SUM(C7:G7)</f>
        <v/>
      </c>
    </row>
    <row r="8">
      <c r="B8" s="27" t="inlineStr">
        <is>
          <t>Other income</t>
        </is>
      </c>
      <c r="C8" s="28">
        <f>SUMIFS(Transactions!$F$4:$F$1003,Transactions!$B$4:$B$1003,Setup!$B$6,Transactions!$D$4:$D$1003,"Other income",Transactions!$C$4:$C$1003,"Income")</f>
        <v/>
      </c>
      <c r="D8" s="28">
        <f>SUMIFS(Transactions!$F$4:$F$1003,Transactions!$B$4:$B$1003,Setup!$B$7,Transactions!$D$4:$D$1003,"Other income",Transactions!$C$4:$C$1003,"Income")</f>
        <v/>
      </c>
      <c r="E8" s="28">
        <f>SUMIFS(Transactions!$F$4:$F$1003,Transactions!$B$4:$B$1003,Setup!$B$8,Transactions!$D$4:$D$1003,"Other income",Transactions!$C$4:$C$1003,"Income")</f>
        <v/>
      </c>
      <c r="F8" s="28">
        <f>SUMIFS(Transactions!$F$4:$F$1003,Transactions!$B$4:$B$1003,Setup!$B$9,Transactions!$D$4:$D$1003,"Other income",Transactions!$C$4:$C$1003,"Income")</f>
        <v/>
      </c>
      <c r="G8" s="28">
        <f>SUMIFS(Transactions!$F$4:$F$1003,Transactions!$B$4:$B$1003,Setup!$B$10,Transactions!$D$4:$D$1003,"Other income",Transactions!$C$4:$C$1003,"Income")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8  Advertising</t>
        </is>
      </c>
      <c r="C12" s="28">
        <f>SUMIFS(Transactions!$F$4:$F$1003,Transactions!$B$4:$B$1003,Setup!$B$6,Transactions!$D$4:$D$1003,"Advertising &amp; promotion",Transactions!$C$4:$C$1003,"Expense")</f>
        <v/>
      </c>
      <c r="D12" s="28">
        <f>SUMIFS(Transactions!$F$4:$F$1003,Transactions!$B$4:$B$1003,Setup!$B$7,Transactions!$D$4:$D$1003,"Advertising &amp; promotion",Transactions!$C$4:$C$1003,"Expense")</f>
        <v/>
      </c>
      <c r="E12" s="28">
        <f>SUMIFS(Transactions!$F$4:$F$1003,Transactions!$B$4:$B$1003,Setup!$B$8,Transactions!$D$4:$D$1003,"Advertising &amp; promotion",Transactions!$C$4:$C$1003,"Expense")</f>
        <v/>
      </c>
      <c r="F12" s="28">
        <f>SUMIFS(Transactions!$F$4:$F$1003,Transactions!$B$4:$B$1003,Setup!$B$9,Transactions!$D$4:$D$1003,"Advertising &amp; promotion",Transactions!$C$4:$C$1003,"Expense")</f>
        <v/>
      </c>
      <c r="G12" s="28">
        <f>SUMIFS(Transactions!$F$4:$F$1003,Transactions!$B$4:$B$1003,Setup!$B$10,Transactions!$D$4:$D$1003,"Advertising &amp; promotion",Transactions!$C$4:$C$1003,"Expense")</f>
        <v/>
      </c>
      <c r="H12" s="29">
        <f>SUM(C12:G12)</f>
        <v/>
      </c>
    </row>
    <row r="13">
      <c r="B13" s="27" t="inlineStr">
        <is>
          <t>9  Car &amp; truck</t>
        </is>
      </c>
      <c r="C13" s="28">
        <f>SUMIFS(Transactions!$F$4:$F$1003,Transactions!$B$4:$B$1003,Setup!$B$6,Transactions!$D$4:$D$1003,"Car &amp; truck",Transactions!$C$4:$C$1003,"Expense")</f>
        <v/>
      </c>
      <c r="D13" s="28">
        <f>SUMIFS(Transactions!$F$4:$F$1003,Transactions!$B$4:$B$1003,Setup!$B$7,Transactions!$D$4:$D$1003,"Car &amp; truck",Transactions!$C$4:$C$1003,"Expense")</f>
        <v/>
      </c>
      <c r="E13" s="28">
        <f>SUMIFS(Transactions!$F$4:$F$1003,Transactions!$B$4:$B$1003,Setup!$B$8,Transactions!$D$4:$D$1003,"Car &amp; truck",Transactions!$C$4:$C$1003,"Expense")</f>
        <v/>
      </c>
      <c r="F13" s="28">
        <f>SUMIFS(Transactions!$F$4:$F$1003,Transactions!$B$4:$B$1003,Setup!$B$9,Transactions!$D$4:$D$1003,"Car &amp; truck",Transactions!$C$4:$C$1003,"Expense")</f>
        <v/>
      </c>
      <c r="G13" s="28">
        <f>SUMIFS(Transactions!$F$4:$F$1003,Transactions!$B$4:$B$1003,Setup!$B$10,Transactions!$D$4:$D$1003,"Car &amp; truck",Transactions!$C$4:$C$1003,"Expense")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SUMIFS(Transactions!$F$4:$F$1003,Transactions!$B$4:$B$1003,Setup!$B$6,Transactions!$D$4:$D$1003,"Commissions &amp; marketplace fees",Transactions!$C$4:$C$1003,"Expense")</f>
        <v/>
      </c>
      <c r="D14" s="28">
        <f>SUMIFS(Transactions!$F$4:$F$1003,Transactions!$B$4:$B$1003,Setup!$B$7,Transactions!$D$4:$D$1003,"Commissions &amp; marketplace fees",Transactions!$C$4:$C$1003,"Expense")</f>
        <v/>
      </c>
      <c r="E14" s="28">
        <f>SUMIFS(Transactions!$F$4:$F$1003,Transactions!$B$4:$B$1003,Setup!$B$8,Transactions!$D$4:$D$1003,"Commissions &amp; marketplace fees",Transactions!$C$4:$C$1003,"Expense")</f>
        <v/>
      </c>
      <c r="F14" s="28">
        <f>SUMIFS(Transactions!$F$4:$F$1003,Transactions!$B$4:$B$1003,Setup!$B$9,Transactions!$D$4:$D$1003,"Commissions &amp; marketplace fees",Transactions!$C$4:$C$1003,"Expense")</f>
        <v/>
      </c>
      <c r="G14" s="28">
        <f>SUMIFS(Transactions!$F$4:$F$1003,Transactions!$B$4:$B$1003,Setup!$B$10,Transactions!$D$4:$D$1003,"Commissions &amp; marketplace fees",Transactions!$C$4:$C$1003,"Expense")</f>
        <v/>
      </c>
      <c r="H14" s="29">
        <f>SUM(C14:G14)</f>
        <v/>
      </c>
    </row>
    <row r="15">
      <c r="B15" s="27" t="inlineStr">
        <is>
          <t>11 Contract labor</t>
        </is>
      </c>
      <c r="C15" s="28">
        <f>SUMIFS(Transactions!$F$4:$F$1003,Transactions!$B$4:$B$1003,Setup!$B$6,Transactions!$D$4:$D$1003,"Contract labor",Transactions!$C$4:$C$1003,"Expense")</f>
        <v/>
      </c>
      <c r="D15" s="28">
        <f>SUMIFS(Transactions!$F$4:$F$1003,Transactions!$B$4:$B$1003,Setup!$B$7,Transactions!$D$4:$D$1003,"Contract labor",Transactions!$C$4:$C$1003,"Expense")</f>
        <v/>
      </c>
      <c r="E15" s="28">
        <f>SUMIFS(Transactions!$F$4:$F$1003,Transactions!$B$4:$B$1003,Setup!$B$8,Transactions!$D$4:$D$1003,"Contract labor",Transactions!$C$4:$C$1003,"Expense")</f>
        <v/>
      </c>
      <c r="F15" s="28">
        <f>SUMIFS(Transactions!$F$4:$F$1003,Transactions!$B$4:$B$1003,Setup!$B$9,Transactions!$D$4:$D$1003,"Contract labor",Transactions!$C$4:$C$1003,"Expense")</f>
        <v/>
      </c>
      <c r="G15" s="28">
        <f>SUMIFS(Transactions!$F$4:$F$1003,Transactions!$B$4:$B$1003,Setup!$B$10,Transactions!$D$4:$D$1003,"Contract labor",Transactions!$C$4:$C$1003,"Expense")</f>
        <v/>
      </c>
      <c r="H15" s="29">
        <f>SUM(C15:G15)</f>
        <v/>
      </c>
    </row>
    <row r="16">
      <c r="B16" s="27" t="inlineStr">
        <is>
          <t>4  Cost of goods sold</t>
        </is>
      </c>
      <c r="C16" s="28">
        <f>SUMIFS(Transactions!$F$4:$F$1003,Transactions!$B$4:$B$1003,Setup!$B$6,Transactions!$D$4:$D$1003,"Cost of goods sold (materials)",Transactions!$C$4:$C$1003,"Expense")</f>
        <v/>
      </c>
      <c r="D16" s="28">
        <f>SUMIFS(Transactions!$F$4:$F$1003,Transactions!$B$4:$B$1003,Setup!$B$7,Transactions!$D$4:$D$1003,"Cost of goods sold (materials)",Transactions!$C$4:$C$1003,"Expense")</f>
        <v/>
      </c>
      <c r="E16" s="28">
        <f>SUMIFS(Transactions!$F$4:$F$1003,Transactions!$B$4:$B$1003,Setup!$B$8,Transactions!$D$4:$D$1003,"Cost of goods sold (materials)",Transactions!$C$4:$C$1003,"Expense")</f>
        <v/>
      </c>
      <c r="F16" s="28">
        <f>SUMIFS(Transactions!$F$4:$F$1003,Transactions!$B$4:$B$1003,Setup!$B$9,Transactions!$D$4:$D$1003,"Cost of goods sold (materials)",Transactions!$C$4:$C$1003,"Expense")</f>
        <v/>
      </c>
      <c r="G16" s="28">
        <f>SUMIFS(Transactions!$F$4:$F$1003,Transactions!$B$4:$B$1003,Setup!$B$10,Transactions!$D$4:$D$1003,"Cost of goods sold (materials)",Transactions!$C$4:$C$1003,"Expense")</f>
        <v/>
      </c>
      <c r="H16" s="29">
        <f>SUM(C16:G16)</f>
        <v/>
      </c>
    </row>
    <row r="17">
      <c r="B17" s="27" t="inlineStr">
        <is>
          <t>15 Insurance</t>
        </is>
      </c>
      <c r="C17" s="28">
        <f>SUMIFS(Transactions!$F$4:$F$1003,Transactions!$B$4:$B$1003,Setup!$B$6,Transactions!$D$4:$D$1003,"Insurance (business)",Transactions!$C$4:$C$1003,"Expense")</f>
        <v/>
      </c>
      <c r="D17" s="28">
        <f>SUMIFS(Transactions!$F$4:$F$1003,Transactions!$B$4:$B$1003,Setup!$B$7,Transactions!$D$4:$D$1003,"Insurance (business)",Transactions!$C$4:$C$1003,"Expense")</f>
        <v/>
      </c>
      <c r="E17" s="28">
        <f>SUMIFS(Transactions!$F$4:$F$1003,Transactions!$B$4:$B$1003,Setup!$B$8,Transactions!$D$4:$D$1003,"Insurance (business)",Transactions!$C$4:$C$1003,"Expense")</f>
        <v/>
      </c>
      <c r="F17" s="28">
        <f>SUMIFS(Transactions!$F$4:$F$1003,Transactions!$B$4:$B$1003,Setup!$B$9,Transactions!$D$4:$D$1003,"Insurance (business)",Transactions!$C$4:$C$1003,"Expense")</f>
        <v/>
      </c>
      <c r="G17" s="28">
        <f>SUMIFS(Transactions!$F$4:$F$1003,Transactions!$B$4:$B$1003,Setup!$B$10,Transactions!$D$4:$D$1003,"Insurance (business)",Transactions!$C$4:$C$1003,"Expense")</f>
        <v/>
      </c>
      <c r="H17" s="29">
        <f>SUM(C17:G17)</f>
        <v/>
      </c>
    </row>
    <row r="18">
      <c r="B18" s="27" t="inlineStr">
        <is>
          <t>17 Legal &amp; professional</t>
        </is>
      </c>
      <c r="C18" s="28">
        <f>SUMIFS(Transactions!$F$4:$F$1003,Transactions!$B$4:$B$1003,Setup!$B$6,Transactions!$D$4:$D$1003,"Legal &amp; professional",Transactions!$C$4:$C$1003,"Expense")</f>
        <v/>
      </c>
      <c r="D18" s="28">
        <f>SUMIFS(Transactions!$F$4:$F$1003,Transactions!$B$4:$B$1003,Setup!$B$7,Transactions!$D$4:$D$1003,"Legal &amp; professional",Transactions!$C$4:$C$1003,"Expense")</f>
        <v/>
      </c>
      <c r="E18" s="28">
        <f>SUMIFS(Transactions!$F$4:$F$1003,Transactions!$B$4:$B$1003,Setup!$B$8,Transactions!$D$4:$D$1003,"Legal &amp; professional",Transactions!$C$4:$C$1003,"Expense")</f>
        <v/>
      </c>
      <c r="F18" s="28">
        <f>SUMIFS(Transactions!$F$4:$F$1003,Transactions!$B$4:$B$1003,Setup!$B$9,Transactions!$D$4:$D$1003,"Legal &amp; professional",Transactions!$C$4:$C$1003,"Expense")</f>
        <v/>
      </c>
      <c r="G18" s="28">
        <f>SUMIFS(Transactions!$F$4:$F$1003,Transactions!$B$4:$B$1003,Setup!$B$10,Transactions!$D$4:$D$1003,"Legal &amp; professional",Transactions!$C$4:$C$1003,"Expense")</f>
        <v/>
      </c>
      <c r="H18" s="29">
        <f>SUM(C18:G18)</f>
        <v/>
      </c>
    </row>
    <row r="19">
      <c r="B19" s="27" t="inlineStr">
        <is>
          <t>18 Office expense</t>
        </is>
      </c>
      <c r="C19" s="28">
        <f>SUMIFS(Transactions!$F$4:$F$1003,Transactions!$B$4:$B$1003,Setup!$B$6,Transactions!$D$4:$D$1003,"Office expense",Transactions!$C$4:$C$1003,"Expense")</f>
        <v/>
      </c>
      <c r="D19" s="28">
        <f>SUMIFS(Transactions!$F$4:$F$1003,Transactions!$B$4:$B$1003,Setup!$B$7,Transactions!$D$4:$D$1003,"Office expense",Transactions!$C$4:$C$1003,"Expense")</f>
        <v/>
      </c>
      <c r="E19" s="28">
        <f>SUMIFS(Transactions!$F$4:$F$1003,Transactions!$B$4:$B$1003,Setup!$B$8,Transactions!$D$4:$D$1003,"Office expense",Transactions!$C$4:$C$1003,"Expense")</f>
        <v/>
      </c>
      <c r="F19" s="28">
        <f>SUMIFS(Transactions!$F$4:$F$1003,Transactions!$B$4:$B$1003,Setup!$B$9,Transactions!$D$4:$D$1003,"Office expense",Transactions!$C$4:$C$1003,"Expense")</f>
        <v/>
      </c>
      <c r="G19" s="28">
        <f>SUMIFS(Transactions!$F$4:$F$1003,Transactions!$B$4:$B$1003,Setup!$B$10,Transactions!$D$4:$D$1003,"Office expense",Transactions!$C$4:$C$1003,"Expense")</f>
        <v/>
      </c>
      <c r="H19" s="29">
        <f>SUM(C19:G19)</f>
        <v/>
      </c>
    </row>
    <row r="20">
      <c r="B20" s="27" t="inlineStr">
        <is>
          <t>20 Rent or lease</t>
        </is>
      </c>
      <c r="C20" s="28">
        <f>SUMIFS(Transactions!$F$4:$F$1003,Transactions!$B$4:$B$1003,Setup!$B$6,Transactions!$D$4:$D$1003,"Rent or lease",Transactions!$C$4:$C$1003,"Expense")</f>
        <v/>
      </c>
      <c r="D20" s="28">
        <f>SUMIFS(Transactions!$F$4:$F$1003,Transactions!$B$4:$B$1003,Setup!$B$7,Transactions!$D$4:$D$1003,"Rent or lease",Transactions!$C$4:$C$1003,"Expense")</f>
        <v/>
      </c>
      <c r="E20" s="28">
        <f>SUMIFS(Transactions!$F$4:$F$1003,Transactions!$B$4:$B$1003,Setup!$B$8,Transactions!$D$4:$D$1003,"Rent or lease",Transactions!$C$4:$C$1003,"Expense")</f>
        <v/>
      </c>
      <c r="F20" s="28">
        <f>SUMIFS(Transactions!$F$4:$F$1003,Transactions!$B$4:$B$1003,Setup!$B$9,Transactions!$D$4:$D$1003,"Rent or lease",Transactions!$C$4:$C$1003,"Expense")</f>
        <v/>
      </c>
      <c r="G20" s="28">
        <f>SUMIFS(Transactions!$F$4:$F$1003,Transactions!$B$4:$B$1003,Setup!$B$10,Transactions!$D$4:$D$1003,"Rent or lease",Transactions!$C$4:$C$1003,"Expense")</f>
        <v/>
      </c>
      <c r="H20" s="29">
        <f>SUM(C20:G20)</f>
        <v/>
      </c>
    </row>
    <row r="21">
      <c r="B21" s="27" t="inlineStr">
        <is>
          <t>21 Repairs &amp; maintenance</t>
        </is>
      </c>
      <c r="C21" s="28">
        <f>SUMIFS(Transactions!$F$4:$F$1003,Transactions!$B$4:$B$1003,Setup!$B$6,Transactions!$D$4:$D$1003,"Repairs &amp; maintenance",Transactions!$C$4:$C$1003,"Expense")</f>
        <v/>
      </c>
      <c r="D21" s="28">
        <f>SUMIFS(Transactions!$F$4:$F$1003,Transactions!$B$4:$B$1003,Setup!$B$7,Transactions!$D$4:$D$1003,"Repairs &amp; maintenance",Transactions!$C$4:$C$1003,"Expense")</f>
        <v/>
      </c>
      <c r="E21" s="28">
        <f>SUMIFS(Transactions!$F$4:$F$1003,Transactions!$B$4:$B$1003,Setup!$B$8,Transactions!$D$4:$D$1003,"Repairs &amp; maintenance",Transactions!$C$4:$C$1003,"Expense")</f>
        <v/>
      </c>
      <c r="F21" s="28">
        <f>SUMIFS(Transactions!$F$4:$F$1003,Transactions!$B$4:$B$1003,Setup!$B$9,Transactions!$D$4:$D$1003,"Repairs &amp; maintenance",Transactions!$C$4:$C$1003,"Expense")</f>
        <v/>
      </c>
      <c r="G21" s="28">
        <f>SUMIFS(Transactions!$F$4:$F$1003,Transactions!$B$4:$B$1003,Setup!$B$10,Transactions!$D$4:$D$1003,"Repairs &amp; maintenance",Transactions!$C$4:$C$1003,"Expense")</f>
        <v/>
      </c>
      <c r="H21" s="29">
        <f>SUM(C21:G21)</f>
        <v/>
      </c>
    </row>
    <row r="22">
      <c r="B22" s="27" t="inlineStr">
        <is>
          <t>27 Other (shipping)</t>
        </is>
      </c>
      <c r="C22" s="28">
        <f>SUMIFS(Transactions!$F$4:$F$1003,Transactions!$B$4:$B$1003,Setup!$B$6,Transactions!$D$4:$D$1003,"Shipping &amp; postage",Transactions!$C$4:$C$1003,"Expense")</f>
        <v/>
      </c>
      <c r="D22" s="28">
        <f>SUMIFS(Transactions!$F$4:$F$1003,Transactions!$B$4:$B$1003,Setup!$B$7,Transactions!$D$4:$D$1003,"Shipping &amp; postage",Transactions!$C$4:$C$1003,"Expense")</f>
        <v/>
      </c>
      <c r="E22" s="28">
        <f>SUMIFS(Transactions!$F$4:$F$1003,Transactions!$B$4:$B$1003,Setup!$B$8,Transactions!$D$4:$D$1003,"Shipping &amp; postage",Transactions!$C$4:$C$1003,"Expense")</f>
        <v/>
      </c>
      <c r="F22" s="28">
        <f>SUMIFS(Transactions!$F$4:$F$1003,Transactions!$B$4:$B$1003,Setup!$B$9,Transactions!$D$4:$D$1003,"Shipping &amp; postage",Transactions!$C$4:$C$1003,"Expense")</f>
        <v/>
      </c>
      <c r="G22" s="28">
        <f>SUMIFS(Transactions!$F$4:$F$1003,Transactions!$B$4:$B$1003,Setup!$B$10,Transactions!$D$4:$D$1003,"Shipping &amp; postage",Transactions!$C$4:$C$1003,"Expense")</f>
        <v/>
      </c>
      <c r="H22" s="29">
        <f>SUM(C22:G22)</f>
        <v/>
      </c>
    </row>
    <row r="23">
      <c r="B23" s="27" t="inlineStr">
        <is>
          <t>27 Other (software)</t>
        </is>
      </c>
      <c r="C23" s="28">
        <f>SUMIFS(Transactions!$F$4:$F$1003,Transactions!$B$4:$B$1003,Setup!$B$6,Transactions!$D$4:$D$1003,"Software &amp; subscriptions",Transactions!$C$4:$C$1003,"Expense")</f>
        <v/>
      </c>
      <c r="D23" s="28">
        <f>SUMIFS(Transactions!$F$4:$F$1003,Transactions!$B$4:$B$1003,Setup!$B$7,Transactions!$D$4:$D$1003,"Software &amp; subscriptions",Transactions!$C$4:$C$1003,"Expense")</f>
        <v/>
      </c>
      <c r="E23" s="28">
        <f>SUMIFS(Transactions!$F$4:$F$1003,Transactions!$B$4:$B$1003,Setup!$B$8,Transactions!$D$4:$D$1003,"Software &amp; subscriptions",Transactions!$C$4:$C$1003,"Expense")</f>
        <v/>
      </c>
      <c r="F23" s="28">
        <f>SUMIFS(Transactions!$F$4:$F$1003,Transactions!$B$4:$B$1003,Setup!$B$9,Transactions!$D$4:$D$1003,"Software &amp; subscriptions",Transactions!$C$4:$C$1003,"Expense")</f>
        <v/>
      </c>
      <c r="G23" s="28">
        <f>SUMIFS(Transactions!$F$4:$F$1003,Transactions!$B$4:$B$1003,Setup!$B$10,Transactions!$D$4:$D$1003,"Software &amp; subscriptions",Transactions!$C$4:$C$1003,"Expense")</f>
        <v/>
      </c>
      <c r="H23" s="29">
        <f>SUM(C23:G23)</f>
        <v/>
      </c>
    </row>
    <row r="24">
      <c r="B24" s="27" t="inlineStr">
        <is>
          <t>22 Supplies</t>
        </is>
      </c>
      <c r="C24" s="28">
        <f>SUMIFS(Transactions!$F$4:$F$1003,Transactions!$B$4:$B$1003,Setup!$B$6,Transactions!$D$4:$D$1003,"Supplies &amp; packaging",Transactions!$C$4:$C$1003,"Expense")</f>
        <v/>
      </c>
      <c r="D24" s="28">
        <f>SUMIFS(Transactions!$F$4:$F$1003,Transactions!$B$4:$B$1003,Setup!$B$7,Transactions!$D$4:$D$1003,"Supplies &amp; packaging",Transactions!$C$4:$C$1003,"Expense")</f>
        <v/>
      </c>
      <c r="E24" s="28">
        <f>SUMIFS(Transactions!$F$4:$F$1003,Transactions!$B$4:$B$1003,Setup!$B$8,Transactions!$D$4:$D$1003,"Supplies &amp; packaging",Transactions!$C$4:$C$1003,"Expense")</f>
        <v/>
      </c>
      <c r="F24" s="28">
        <f>SUMIFS(Transactions!$F$4:$F$1003,Transactions!$B$4:$B$1003,Setup!$B$9,Transactions!$D$4:$D$1003,"Supplies &amp; packaging",Transactions!$C$4:$C$1003,"Expense")</f>
        <v/>
      </c>
      <c r="G24" s="28">
        <f>SUMIFS(Transactions!$F$4:$F$1003,Transactions!$B$4:$B$1003,Setup!$B$10,Transactions!$D$4:$D$1003,"Supplies &amp; packaging",Transactions!$C$4:$C$1003,"Expense")</f>
        <v/>
      </c>
      <c r="H24" s="29">
        <f>SUM(C24:G24)</f>
        <v/>
      </c>
    </row>
    <row r="25">
      <c r="B25" s="27" t="inlineStr">
        <is>
          <t>23 Taxes &amp; licenses</t>
        </is>
      </c>
      <c r="C25" s="28">
        <f>SUMIFS(Transactions!$F$4:$F$1003,Transactions!$B$4:$B$1003,Setup!$B$6,Transactions!$D$4:$D$1003,"Taxes &amp; licenses",Transactions!$C$4:$C$1003,"Expense")</f>
        <v/>
      </c>
      <c r="D25" s="28">
        <f>SUMIFS(Transactions!$F$4:$F$1003,Transactions!$B$4:$B$1003,Setup!$B$7,Transactions!$D$4:$D$1003,"Taxes &amp; licenses",Transactions!$C$4:$C$1003,"Expense")</f>
        <v/>
      </c>
      <c r="E25" s="28">
        <f>SUMIFS(Transactions!$F$4:$F$1003,Transactions!$B$4:$B$1003,Setup!$B$8,Transactions!$D$4:$D$1003,"Taxes &amp; licenses",Transactions!$C$4:$C$1003,"Expense")</f>
        <v/>
      </c>
      <c r="F25" s="28">
        <f>SUMIFS(Transactions!$F$4:$F$1003,Transactions!$B$4:$B$1003,Setup!$B$9,Transactions!$D$4:$D$1003,"Taxes &amp; licenses",Transactions!$C$4:$C$1003,"Expense")</f>
        <v/>
      </c>
      <c r="G25" s="28">
        <f>SUMIFS(Transactions!$F$4:$F$1003,Transactions!$B$4:$B$1003,Setup!$B$10,Transactions!$D$4:$D$1003,"Taxes &amp; licenses",Transactions!$C$4:$C$1003,"Expense")</f>
        <v/>
      </c>
      <c r="H25" s="29">
        <f>SUM(C25:G25)</f>
        <v/>
      </c>
    </row>
    <row r="26">
      <c r="B26" s="27" t="inlineStr">
        <is>
          <t>24 Travel &amp; meals</t>
        </is>
      </c>
      <c r="C26" s="28">
        <f>SUMIFS(Transactions!$F$4:$F$1003,Transactions!$B$4:$B$1003,Setup!$B$6,Transactions!$D$4:$D$1003,"Travel &amp; meals",Transactions!$C$4:$C$1003,"Expense")</f>
        <v/>
      </c>
      <c r="D26" s="28">
        <f>SUMIFS(Transactions!$F$4:$F$1003,Transactions!$B$4:$B$1003,Setup!$B$7,Transactions!$D$4:$D$1003,"Travel &amp; meals",Transactions!$C$4:$C$1003,"Expense")</f>
        <v/>
      </c>
      <c r="E26" s="28">
        <f>SUMIFS(Transactions!$F$4:$F$1003,Transactions!$B$4:$B$1003,Setup!$B$8,Transactions!$D$4:$D$1003,"Travel &amp; meals",Transactions!$C$4:$C$1003,"Expense")</f>
        <v/>
      </c>
      <c r="F26" s="28">
        <f>SUMIFS(Transactions!$F$4:$F$1003,Transactions!$B$4:$B$1003,Setup!$B$9,Transactions!$D$4:$D$1003,"Travel &amp; meals",Transactions!$C$4:$C$1003,"Expense")</f>
        <v/>
      </c>
      <c r="G26" s="28">
        <f>SUMIFS(Transactions!$F$4:$F$1003,Transactions!$B$4:$B$1003,Setup!$B$10,Transactions!$D$4:$D$1003,"Travel &amp; meals",Transactions!$C$4:$C$1003,"Expense")</f>
        <v/>
      </c>
      <c r="H26" s="29">
        <f>SUM(C26:G26)</f>
        <v/>
      </c>
    </row>
    <row r="27">
      <c r="B27" s="27" t="inlineStr">
        <is>
          <t>25 Utilities</t>
        </is>
      </c>
      <c r="C27" s="28">
        <f>SUMIFS(Transactions!$F$4:$F$1003,Transactions!$B$4:$B$1003,Setup!$B$6,Transactions!$D$4:$D$1003,"Utilities (phone/internet)",Transactions!$C$4:$C$1003,"Expense")</f>
        <v/>
      </c>
      <c r="D27" s="28">
        <f>SUMIFS(Transactions!$F$4:$F$1003,Transactions!$B$4:$B$1003,Setup!$B$7,Transactions!$D$4:$D$1003,"Utilities (phone/internet)",Transactions!$C$4:$C$1003,"Expense")</f>
        <v/>
      </c>
      <c r="E27" s="28">
        <f>SUMIFS(Transactions!$F$4:$F$1003,Transactions!$B$4:$B$1003,Setup!$B$8,Transactions!$D$4:$D$1003,"Utilities (phone/internet)",Transactions!$C$4:$C$1003,"Expense")</f>
        <v/>
      </c>
      <c r="F27" s="28">
        <f>SUMIFS(Transactions!$F$4:$F$1003,Transactions!$B$4:$B$1003,Setup!$B$9,Transactions!$D$4:$D$1003,"Utilities (phone/internet)",Transactions!$C$4:$C$1003,"Expense")</f>
        <v/>
      </c>
      <c r="G27" s="28">
        <f>SUMIFS(Transactions!$F$4:$F$1003,Transactions!$B$4:$B$1003,Setup!$B$10,Transactions!$D$4:$D$1003,"Utilities (phone/internet)",Transactions!$C$4:$C$1003,"Expense")</f>
        <v/>
      </c>
      <c r="H27" s="29">
        <f>SUM(C27:G27)</f>
        <v/>
      </c>
    </row>
    <row r="28">
      <c r="B28" s="32" t="inlineStr">
        <is>
          <t>Total expenses (incl. COGS)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shop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Shop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shops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2026-06-06T15:54:38Z</dcterms:created>
  <dcterms:modified xsi:type="dcterms:W3CDTF">2026-06-06T15:54:39Z</dcterms:modified>
</cp:coreProperties>
</file>